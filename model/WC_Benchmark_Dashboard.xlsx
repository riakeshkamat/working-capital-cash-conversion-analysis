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4b92c4e804b421b" /></Relationships>
</file>

<file path=xl/workbook.xml><?xml version="1.0" encoding="utf-8"?>
<x:workbook xmlns:x="http://schemas.openxmlformats.org/spreadsheetml/2006/main">
  <x:sheets>
    <x:sheet xmlns:r="http://schemas.openxmlformats.org/officeDocument/2006/relationships" name="Dashboard" sheetId="1" r:id="R78827611df3c4040"/>
    <x:sheet xmlns:r="http://schemas.openxmlformats.org/officeDocument/2006/relationships" name="Ratios" sheetId="2" r:id="R0551f2aa08884238"/>
    <x:sheet xmlns:r="http://schemas.openxmlformats.org/officeDocument/2006/relationships" name="Source Financials" sheetId="3" r:id="R09c46f81fa904e8b"/>
    <x:sheet xmlns:r="http://schemas.openxmlformats.org/officeDocument/2006/relationships" name="Checks" sheetId="4" r:id="R034e8dd809ce4bb2"/>
  </x:sheets>
</x:workbook>
</file>

<file path=xl/comments1.xml><?xml version="1.0" encoding="utf-8"?>
<x:comments xmlns:x="http://schemas.openxmlformats.org/spreadsheetml/2006/main">
  <x:authors>
    <x:author>tc={CC4F616E-43E5-F3F3-AFA7-15369E278249}</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Source financials are from SEC EDGAR 10-K filings. Filing URLs and XBRL tags are retained by row.</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
  </x:numFmts>
  <x:fonts count="6">
    <x:font>
      <x:sz val="11"/>
      <x:name val="Carlito"/>
    </x:font>
    <x:font>
      <x:b/>
      <x:sz val="11"/>
      <x:color rgb="FF111827"/>
      <x:name val="Carlito"/>
    </x:font>
    <x:font>
      <x:b/>
      <x:sz val="18"/>
      <x:color rgb="FF111827"/>
      <x:name val="Carlito"/>
    </x:font>
    <x:font>
      <x:sz val="11"/>
      <x:color rgb="FF4B5563"/>
      <x:name val="Carlito"/>
    </x:font>
    <x:font>
      <x:b/>
      <x:sz val="12"/>
      <x:name val="Carlito"/>
    </x:font>
    <x:font>
      <x:b/>
      <x:sz val="11"/>
      <x:name val="Carlito"/>
    </x:font>
  </x:fonts>
  <x:fills count="7">
    <x:fill>
      <x:patternFill patternType="none"/>
    </x:fill>
    <x:fill>
      <x:patternFill patternType="gray125"/>
    </x:fill>
    <x:fill>
      <x:patternFill patternType="solid">
        <x:fgColor rgb="FFFDE9D9"/>
      </x:patternFill>
    </x:fill>
    <x:fill>
      <x:patternFill patternType="solid">
        <x:fgColor rgb="FFD9EAD3"/>
      </x:patternFill>
    </x:fill>
    <x:fill>
      <x:patternFill patternType="solid">
        <x:fgColor rgb="FFEAF4E3"/>
      </x:patternFill>
    </x:fill>
    <x:fill>
      <x:patternFill patternType="solid">
        <x:fgColor rgb="FFFCE4D6"/>
      </x:patternFill>
    </x:fill>
    <x:fill>
      <x:patternFill patternType="solid">
        <x:fgColor rgb="FFF4CCCC"/>
      </x:patternFill>
    </x:fill>
  </x:fills>
  <x:borders count="9">
    <x:border/>
    <x:border>
      <x:bottom style="medium">
        <x:color rgb="FF111827"/>
      </x:bottom>
    </x:border>
    <x:border>
      <x:bottom style="thin">
        <x:color rgb="FFD9D9D9"/>
      </x:bottom>
    </x:border>
    <x:border>
      <x:top style="thin">
        <x:color rgb="FFD9D9D9"/>
      </x:top>
      <x:bottom style="thin">
        <x:color rgb="FFD9D9D9"/>
      </x:bottom>
    </x:border>
    <x:border>
      <x:top style="thin">
        <x:color rgb="FFD9D9D9"/>
      </x:top>
      <x:bottom style="thin">
        <x:color rgb="FFBFBFBF"/>
      </x:bottom>
    </x:border>
    <x:border>
      <x:bottom style="thin">
        <x:color rgb="FFE5E7EB"/>
      </x:bottom>
    </x:border>
    <x:border>
      <x:top style="thin">
        <x:color rgb="FFE5E7EB"/>
      </x:top>
      <x:bottom style="thin">
        <x:color rgb="FFE5E7EB"/>
      </x:bottom>
    </x:border>
    <x:border>
      <x:top style="thin">
        <x:color rgb="FFE5E7EB"/>
      </x:top>
      <x:bottom style="thin">
        <x:color rgb="FFBFBFBF"/>
      </x:bottom>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1"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1" fillId="0" borderId="1" xfId="0" applyNumberFormat="1" applyFont="1" applyFill="1" applyBorder="1" applyAlignment="1">
      <x:alignment wrapText="1"/>
    </x:xf>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202" fontId="0" fillId="0" borderId="0" xfId="0" applyNumberFormat="1" applyFont="1" applyFill="1" applyBorder="1"/>
    <x:xf numFmtId="0" fontId="0" fillId="0" borderId="2" xfId="0" applyNumberFormat="1" applyFont="1" applyFill="1" applyBorder="1"/>
    <x:xf numFmtId="200" fontId="0" fillId="0" borderId="2" xfId="0" applyNumberFormat="1" applyFont="1" applyFill="1" applyBorder="1"/>
    <x:xf numFmtId="202" fontId="0" fillId="0" borderId="2" xfId="0" applyNumberFormat="1" applyFont="1" applyFill="1" applyBorder="1"/>
    <x:xf numFmtId="0" fontId="0" fillId="0" borderId="3" xfId="0" applyNumberFormat="1" applyFont="1" applyFill="1" applyBorder="1"/>
    <x:xf numFmtId="200" fontId="0" fillId="0" borderId="3" xfId="0" applyNumberFormat="1" applyFont="1" applyFill="1" applyBorder="1"/>
    <x:xf numFmtId="202" fontId="0" fillId="0" borderId="3" xfId="0" applyNumberFormat="1" applyFont="1" applyFill="1" applyBorder="1"/>
    <x:xf numFmtId="0" fontId="0" fillId="0" borderId="4" xfId="0" applyNumberFormat="1" applyFont="1" applyFill="1" applyBorder="1"/>
    <x:xf numFmtId="200" fontId="0" fillId="0" borderId="4" xfId="0" applyNumberFormat="1" applyFont="1" applyFill="1" applyBorder="1"/>
    <x:xf numFmtId="202" fontId="0" fillId="0" borderId="4" xfId="0" applyNumberFormat="1" applyFont="1" applyFill="1" applyBorder="1"/>
    <x:xf numFmtId="0" fontId="0" fillId="2" borderId="2" xfId="0" applyNumberFormat="1" applyFont="1" applyFill="1" applyBorder="1"/>
    <x:xf numFmtId="200" fontId="0" fillId="2" borderId="2" xfId="0" applyNumberFormat="1" applyFont="1" applyFill="1" applyBorder="1"/>
    <x:xf numFmtId="202" fontId="0" fillId="2" borderId="2" xfId="0" applyNumberFormat="1" applyFont="1" applyFill="1" applyBorder="1"/>
    <x:xf numFmtId="0" fontId="5" fillId="2" borderId="2" xfId="0" applyNumberFormat="1" applyFont="1" applyFill="1" applyBorder="1"/>
    <x:xf numFmtId="200" fontId="5" fillId="2" borderId="2" xfId="0" applyNumberFormat="1" applyFont="1" applyFill="1" applyBorder="1"/>
    <x:xf numFmtId="202" fontId="5" fillId="2" borderId="2" xfId="0" applyNumberFormat="1" applyFont="1" applyFill="1" applyBorder="1"/>
    <x:xf numFmtId="200" fontId="5" fillId="3" borderId="2" xfId="0" applyNumberFormat="1" applyFont="1" applyFill="1" applyBorder="1"/>
    <x:xf numFmtId="200" fontId="0" fillId="4" borderId="3" xfId="0" applyNumberFormat="1" applyFont="1" applyFill="1" applyBorder="1"/>
    <x:xf numFmtId="200" fontId="0" fillId="5" borderId="3" xfId="0" applyNumberFormat="1" applyFont="1" applyFill="1" applyBorder="1"/>
    <x:xf numFmtId="200" fontId="0" fillId="6" borderId="4" xfId="0" applyNumberFormat="1" applyFont="1" applyFill="1" applyBorder="1"/>
    <x:xf numFmtId="200" fontId="0" fillId="5" borderId="4" xfId="0" applyNumberFormat="1" applyFont="1" applyFill="1" applyBorder="1"/>
    <x:xf numFmtId="0" fontId="1" fillId="0" borderId="5" xfId="0" applyNumberFormat="1" applyFont="1" applyFill="1" applyBorder="1"/>
    <x:xf numFmtId="0" fontId="0" fillId="0" borderId="6" xfId="0" applyNumberFormat="1" applyFont="1" applyFill="1" applyBorder="1"/>
    <x:xf numFmtId="200" fontId="0" fillId="0" borderId="6" xfId="0" applyNumberFormat="1" applyFont="1" applyFill="1" applyBorder="1"/>
    <x:xf numFmtId="0" fontId="0" fillId="0" borderId="7" xfId="0" applyNumberFormat="1" applyFont="1" applyFill="1" applyBorder="1"/>
    <x:xf numFmtId="200" fontId="0" fillId="0" borderId="7" xfId="0" applyNumberFormat="1" applyFont="1" applyFill="1" applyBorder="1"/>
    <x:xf numFmtId="0" fontId="0" fillId="0" borderId="8" xfId="0" applyNumberFormat="1" applyFont="1" applyFill="1" applyBorder="1"/>
    <x:xf numFmtId="0" fontId="0" fillId="0" borderId="8"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ae1233775041d5" /><Relationship Type="http://schemas.openxmlformats.org/officeDocument/2006/relationships/theme" Target="/xl/theme/theme1.xml" Id="Rc1003620c3ec49b7" /><Relationship Type="http://schemas.openxmlformats.org/officeDocument/2006/relationships/sharedStrings" Target="/xl/sharedStrings.xml" Id="R7b961e117b454c6d" /><Relationship Type="http://schemas.openxmlformats.org/officeDocument/2006/relationships/worksheet" Target="/xl/worksheets/sheet1.xml" Id="R78827611df3c4040" /><Relationship Type="http://schemas.openxmlformats.org/officeDocument/2006/relationships/worksheet" Target="/xl/worksheets/sheet2.xml" Id="R0551f2aa08884238" /><Relationship Type="http://schemas.openxmlformats.org/officeDocument/2006/relationships/worksheet" Target="/xl/worksheets/sheet3.xml" Id="R09c46f81fa904e8b" /><Relationship Type="http://schemas.openxmlformats.org/officeDocument/2006/relationships/worksheet" Target="/xl/worksheets/sheet4.xml" Id="R034e8dd809ce4bb2" /><Relationship Type="http://schemas.microsoft.com/office/2017/10/relationships/person" Target="/xl/persons/person.xml" Id="R0996bf0dc62c4948" /></Relationships>
</file>

<file path=xl/persons/person.xml><?xml version="1.0" encoding="utf-8"?>
<xltc:personList xmlns:xltc="http://schemas.microsoft.com/office/spreadsheetml/2018/threadedcomments">
  <xltc:person displayName="User" id="{616993B9-8C2B-4B80-A4C9-E3FF8A2A78F4}"/>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8-08T19:36:00.055" personId="{616993B9-8C2B-4B80-A4C9-E3FF8A2A78F4}" id="{CC4F616E-43E5-F3F3-AFA7-15369E278249}">
    <xltc:text>Source financials are from SEC EDGAR 10-K filings. Filing URLs and XBRL tags are retained by row.</xltc:text>
  </xltc:threadedComment>
</xltc:ThreadedComments>
</file>

<file path=xl/worksheets/_rels/sheet3.xml.rels>&#65279;<?xml version="1.0" encoding="utf-8"?><Relationships xmlns="http://schemas.openxmlformats.org/package/2006/relationships"><Relationship Type="http://schemas.openxmlformats.org/officeDocument/2006/relationships/comments" Target="/xl/comments1.xml" Id="Rb247cdce9b61470f" /><Relationship Type="http://schemas.openxmlformats.org/officeDocument/2006/relationships/vmlDrawing" Target="/xl/drawings/vmldrawing.vml" Id="Re23860fc048e4b05" /><Relationship Type="http://schemas.microsoft.com/office/2017/10/relationships/threadedComment" Target="/xl/threadedcomments/threadedcomment.xml" Id="R8936d92459944c5c"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7.329999923706055" hidden="0" customWidth="1"/>
    <x:col min="3" max="3" width="4.559999942779541" hidden="0" customWidth="1"/>
    <x:col min="4" max="4" width="7.329999923706055" hidden="0" customWidth="1"/>
    <x:col min="5" max="5" width="4.559999942779541" hidden="0" customWidth="1"/>
    <x:col min="6" max="6" width="7.329999923706055" hidden="0" customWidth="1"/>
    <x:col min="7" max="7" width="4.559999942779541" hidden="0" customWidth="1"/>
    <x:col min="8" max="8" width="26" hidden="0" customWidth="1"/>
    <x:col min="9" max="9" width="26" hidden="0" customWidth="1"/>
    <x:col min="10" max="10" width="26" hidden="0" customWidth="1"/>
  </x:cols>
  <x:sheetData>
    <x:row r="1">
      <x:c r="A1" s="6" t="str">
        <x:v>Working Capital &amp; Cash Conversion Benchmark</x:v>
      </x:c>
    </x:row>
    <x:row r="2">
      <x:c r="A2" s="7" t="str">
        <x:v>Target vs. Walmart, Costco, TJX, and Dollar General | Amounts in $mm; days rounded to 0.1</x:v>
      </x:c>
    </x:row>
    <x:row r="4">
      <x:c r="A4" s="8" t="str">
        <x:v>CCC Heat Map</x:v>
      </x:c>
      <x:c r="H4" s="8" t="str">
        <x:v>Working Capital Diagnosis</x:v>
      </x:c>
    </x:row>
    <x:row r="5">
      <x:c r="A5" s="2" t="str">
        <x:v>Company</x:v>
      </x:c>
      <x:c r="B5" s="2" t="str">
        <x:v>FY2023A</x:v>
      </x:c>
      <x:c r="C5" s="2" t="str">
        <x:v>Rank</x:v>
      </x:c>
      <x:c r="D5" s="2" t="str">
        <x:v>FY2024A</x:v>
      </x:c>
      <x:c r="E5" s="2" t="str">
        <x:v>Rank</x:v>
      </x:c>
      <x:c r="F5" s="2" t="str">
        <x:v>FY2025A</x:v>
      </x:c>
      <x:c r="G5" s="2" t="str">
        <x:v>Rank</x:v>
      </x:c>
      <x:c r="H5" s="37" t="str">
        <x:v>Target's CCC is modestly negative across the latest three benchmark years because AP days slightly exceed inventory days, while DSO is structurally zero for this retail model. The primary watch item is DIO: Target carries materially more inventory days than Costco or Walmart, so the recommendation is to protect supplier-payment discipline while tightening inventory turns through more surgical replenishment and clearance planning.</x:v>
      </x:c>
    </x:row>
    <x:row r="6">
      <x:c r="A6" s="22" t="str">
        <x:v>Target Corporation</x:v>
      </x:c>
      <x:c r="B6" s="25" t="n">
        <x:f>SUMIFS('Ratios'!$G$2:$G$16,'Ratios'!$B$2:$B$16,$A6,'Ratios'!$C$2:$C$16,B$5)</x:f>
        <x:v>-0.5</x:v>
      </x:c>
      <x:c r="C6" s="24" t="n">
        <x:f>RANK(B6,B$6:B$10,1)</x:f>
        <x:v>1</x:v>
      </x:c>
      <x:c r="D6" s="25" t="n">
        <x:f>SUMIFS('Ratios'!$G$2:$G$16,'Ratios'!$B$2:$B$16,$A6,'Ratios'!$C$2:$C$16,D$5)</x:f>
        <x:v>-1.3</x:v>
      </x:c>
      <x:c r="E6" s="24" t="n">
        <x:f>RANK(D6,D$6:D$10,1)</x:f>
        <x:v>1</x:v>
      </x:c>
      <x:c r="F6" s="25" t="n">
        <x:f>SUMIFS('Ratios'!$G$2:$G$16,'Ratios'!$B$2:$B$16,$A6,'Ratios'!$C$2:$C$16,F$5)</x:f>
        <x:v>-1.6</x:v>
      </x:c>
      <x:c r="G6" s="24" t="n">
        <x:f>RANK(F6,F$6:F$10,1)</x:f>
        <x:v>1</x:v>
      </x:c>
    </x:row>
    <x:row r="7">
      <x:c r="A7" s="13" t="str">
        <x:v>Costco Wholesale Corporation</x:v>
      </x:c>
      <x:c r="B7" s="26" t="n">
        <x:f>SUMIFS('Ratios'!$G$2:$G$16,'Ratios'!$B$2:$B$16,$A7,'Ratios'!$C$2:$C$16,B$5)</x:f>
        <x:v>2.8</x:v>
      </x:c>
      <x:c r="C7" s="15" t="n">
        <x:f>RANK(B7,B$6:B$10,1)</x:f>
        <x:v>2</x:v>
      </x:c>
      <x:c r="D7" s="26" t="n">
        <x:f>SUMIFS('Ratios'!$G$2:$G$16,'Ratios'!$B$2:$B$16,$A7,'Ratios'!$C$2:$C$16,D$5)</x:f>
        <x:v>2.3</x:v>
      </x:c>
      <x:c r="E7" s="15" t="n">
        <x:f>RANK(D7,D$6:D$10,1)</x:f>
        <x:v>2</x:v>
      </x:c>
      <x:c r="F7" s="26" t="n">
        <x:f>SUMIFS('Ratios'!$G$2:$G$16,'Ratios'!$B$2:$B$16,$A7,'Ratios'!$C$2:$C$16,F$5)</x:f>
        <x:v>2.1</x:v>
      </x:c>
      <x:c r="G7" s="15" t="n">
        <x:f>RANK(F7,F$6:F$10,1)</x:f>
        <x:v>2</x:v>
      </x:c>
    </x:row>
    <x:row r="8">
      <x:c r="A8" s="13" t="str">
        <x:v>Walmart Inc.</x:v>
      </x:c>
      <x:c r="B8" s="26" t="n">
        <x:f>SUMIFS('Ratios'!$G$2:$G$16,'Ratios'!$B$2:$B$16,$A8,'Ratios'!$C$2:$C$16,B$5)</x:f>
        <x:v>5</x:v>
      </x:c>
      <x:c r="C8" s="15" t="n">
        <x:f>RANK(B8,B$6:B$10,1)</x:f>
        <x:v>3</x:v>
      </x:c>
      <x:c r="D8" s="26" t="n">
        <x:f>SUMIFS('Ratios'!$G$2:$G$16,'Ratios'!$B$2:$B$16,$A8,'Ratios'!$C$2:$C$16,D$5)</x:f>
        <x:v>3.5</x:v>
      </x:c>
      <x:c r="E8" s="15" t="n">
        <x:f>RANK(D8,D$6:D$10,1)</x:f>
        <x:v>3</x:v>
      </x:c>
      <x:c r="F8" s="26" t="n">
        <x:f>SUMIFS('Ratios'!$G$2:$G$16,'Ratios'!$B$2:$B$16,$A8,'Ratios'!$C$2:$C$16,F$5)</x:f>
        <x:v>3.2</x:v>
      </x:c>
      <x:c r="G8" s="15" t="n">
        <x:f>RANK(F8,F$6:F$10,1)</x:f>
        <x:v>3</x:v>
      </x:c>
    </x:row>
    <x:row r="9">
      <x:c r="A9" s="13" t="str">
        <x:v>TJX Companies Inc.</x:v>
      </x:c>
      <x:c r="B9" s="27" t="n">
        <x:f>SUMIFS('Ratios'!$G$2:$G$16,'Ratios'!$B$2:$B$16,$A9,'Ratios'!$C$2:$C$16,B$5)</x:f>
        <x:v>23.6</x:v>
      </x:c>
      <x:c r="C9" s="15" t="n">
        <x:f>RANK(B9,B$6:B$10,1)</x:f>
        <x:v>4</x:v>
      </x:c>
      <x:c r="D9" s="27" t="n">
        <x:f>SUMIFS('Ratios'!$G$2:$G$16,'Ratios'!$B$2:$B$16,$A9,'Ratios'!$C$2:$C$16,D$5)</x:f>
        <x:v>23.4</x:v>
      </x:c>
      <x:c r="E9" s="15" t="n">
        <x:f>RANK(D9,D$6:D$10,1)</x:f>
        <x:v>4</x:v>
      </x:c>
      <x:c r="F9" s="27" t="n">
        <x:f>SUMIFS('Ratios'!$G$2:$G$16,'Ratios'!$B$2:$B$16,$A9,'Ratios'!$C$2:$C$16,F$5)</x:f>
        <x:v>24.9</x:v>
      </x:c>
      <x:c r="G9" s="15" t="n">
        <x:f>RANK(F9,F$6:F$10,1)</x:f>
        <x:v>4</x:v>
      </x:c>
    </x:row>
    <x:row r="10">
      <x:c r="A10" s="16" t="str">
        <x:v>Dollar General Corporation</x:v>
      </x:c>
      <x:c r="B10" s="28" t="n">
        <x:f>SUMIFS('Ratios'!$G$2:$G$16,'Ratios'!$B$2:$B$16,$A10,'Ratios'!$C$2:$C$16,B$5)</x:f>
        <x:v>46.1</x:v>
      </x:c>
      <x:c r="C10" s="18" t="n">
        <x:f>RANK(B10,B$6:B$10,1)</x:f>
        <x:v>5</x:v>
      </x:c>
      <x:c r="D10" s="28" t="n">
        <x:f>SUMIFS('Ratios'!$G$2:$G$16,'Ratios'!$B$2:$B$16,$A10,'Ratios'!$C$2:$C$16,D$5)</x:f>
        <x:v>41</x:v>
      </x:c>
      <x:c r="E10" s="18" t="n">
        <x:f>RANK(D10,D$6:D$10,1)</x:f>
        <x:v>5</x:v>
      </x:c>
      <x:c r="F10" s="29" t="n">
        <x:f>SUMIFS('Ratios'!$G$2:$G$16,'Ratios'!$B$2:$B$16,$A10,'Ratios'!$C$2:$C$16,F$5)</x:f>
        <x:v>32.7</x:v>
      </x:c>
      <x:c r="G10" s="18" t="n">
        <x:f>RANK(F10,F$6:F$10,1)</x:f>
        <x:v>5</x:v>
      </x:c>
    </x:row>
    <x:row r="13">
      <x:c r="A13" s="8" t="str">
        <x:v>DIO / DSO / DPO Breakdown</x:v>
      </x:c>
    </x:row>
    <x:row r="14">
      <x:c r="A14" s="30" t="str">
        <x:v>Company</x:v>
      </x:c>
      <x:c r="B14" s="30" t="str">
        <x:v>Year</x:v>
      </x:c>
      <x:c r="C14" s="30" t="str">
        <x:v>DIO</x:v>
      </x:c>
      <x:c r="D14" s="30" t="str">
        <x:v>DSO</x:v>
      </x:c>
      <x:c r="E14" s="30" t="str">
        <x:v>DPO</x:v>
      </x:c>
      <x:c r="F14" s="30" t="str">
        <x:v>CCC</x:v>
      </x:c>
    </x:row>
    <x:row r="15">
      <x:c r="A15" s="31" t="str">
        <x:v>Costco Wholesale Corporation</x:v>
      </x:c>
      <x:c r="B15" s="31" t="str">
        <x:v>FY2023A</x:v>
      </x:c>
      <x:c r="C15" s="32" t="n">
        <x:v>29.7</x:v>
      </x:c>
      <x:c r="D15" s="32" t="n">
        <x:v>3.4</x:v>
      </x:c>
      <x:c r="E15" s="32" t="n">
        <x:v>30.3</x:v>
      </x:c>
      <x:c r="F15" s="32" t="n">
        <x:v>2.8</x:v>
      </x:c>
    </x:row>
    <x:row r="16">
      <x:c r="A16" s="31" t="str">
        <x:v>Costco Wholesale Corporation</x:v>
      </x:c>
      <x:c r="B16" s="31" t="str">
        <x:v>FY2024A</x:v>
      </x:c>
      <x:c r="C16" s="32" t="n">
        <x:v>29</x:v>
      </x:c>
      <x:c r="D16" s="32" t="n">
        <x:v>3.6</x:v>
      </x:c>
      <x:c r="E16" s="32" t="n">
        <x:v>30.3</x:v>
      </x:c>
      <x:c r="F16" s="32" t="n">
        <x:v>2.3</x:v>
      </x:c>
    </x:row>
    <x:row r="17">
      <x:c r="A17" s="31" t="str">
        <x:v>Costco Wholesale Corporation</x:v>
      </x:c>
      <x:c r="B17" s="31" t="str">
        <x:v>FY2025A</x:v>
      </x:c>
      <x:c r="C17" s="32" t="n">
        <x:v>28</x:v>
      </x:c>
      <x:c r="D17" s="32" t="n">
        <x:v>3.9</x:v>
      </x:c>
      <x:c r="E17" s="32" t="n">
        <x:v>29.8</x:v>
      </x:c>
      <x:c r="F17" s="32" t="n">
        <x:v>2.1</x:v>
      </x:c>
    </x:row>
    <x:row r="18">
      <x:c r="A18" s="31" t="str">
        <x:v>Dollar General Corporation</x:v>
      </x:c>
      <x:c r="B18" s="31" t="str">
        <x:v>FY2023A</x:v>
      </x:c>
      <x:c r="C18" s="32" t="n">
        <x:v>93.1</x:v>
      </x:c>
      <x:c r="D18" s="32" t="n">
        <x:v>1.3</x:v>
      </x:c>
      <x:c r="E18" s="32" t="n">
        <x:v>48.3</x:v>
      </x:c>
      <x:c r="F18" s="32" t="n">
        <x:v>46.1</x:v>
      </x:c>
    </x:row>
    <x:row r="19">
      <x:c r="A19" s="31" t="str">
        <x:v>Dollar General Corporation</x:v>
      </x:c>
      <x:c r="B19" s="31" t="str">
        <x:v>FY2024A</x:v>
      </x:c>
      <x:c r="C19" s="32" t="n">
        <x:v>87.5</x:v>
      </x:c>
      <x:c r="D19" s="32" t="n">
        <x:v>0.9</x:v>
      </x:c>
      <x:c r="E19" s="32" t="n">
        <x:v>47.4</x:v>
      </x:c>
      <x:c r="F19" s="32" t="n">
        <x:v>41</x:v>
      </x:c>
    </x:row>
    <x:row r="20">
      <x:c r="A20" s="31" t="str">
        <x:v>Dollar General Corporation</x:v>
      </x:c>
      <x:c r="B20" s="31" t="str">
        <x:v>FY2025A</x:v>
      </x:c>
      <x:c r="C20" s="32" t="n">
        <x:v>80.4</x:v>
      </x:c>
      <x:c r="D20" s="32" t="n">
        <x:v>0.9</x:v>
      </x:c>
      <x:c r="E20" s="32" t="n">
        <x:v>48.6</x:v>
      </x:c>
      <x:c r="F20" s="32" t="n">
        <x:v>32.7</x:v>
      </x:c>
    </x:row>
    <x:row r="21">
      <x:c r="A21" s="31" t="str">
        <x:v>Target Corporation</x:v>
      </x:c>
      <x:c r="B21" s="31" t="str">
        <x:v>FY2023A</x:v>
      </x:c>
      <x:c r="C21" s="32" t="n">
        <x:v>59.5</x:v>
      </x:c>
      <x:c r="D21" s="32" t="n">
        <x:v>0</x:v>
      </x:c>
      <x:c r="E21" s="32" t="n">
        <x:v>60</x:v>
      </x:c>
      <x:c r="F21" s="32" t="n">
        <x:v>-0.5</x:v>
      </x:c>
    </x:row>
    <x:row r="22">
      <x:c r="A22" s="31" t="str">
        <x:v>Target Corporation</x:v>
      </x:c>
      <x:c r="B22" s="31" t="str">
        <x:v>FY2024A</x:v>
      </x:c>
      <x:c r="C22" s="32" t="n">
        <x:v>58.7</x:v>
      </x:c>
      <x:c r="D22" s="32" t="n">
        <x:v>0</x:v>
      </x:c>
      <x:c r="E22" s="32" t="n">
        <x:v>60</x:v>
      </x:c>
      <x:c r="F22" s="32" t="n">
        <x:v>-1.3</x:v>
      </x:c>
    </x:row>
    <x:row r="23">
      <x:c r="A23" s="31" t="str">
        <x:v>Target Corporation</x:v>
      </x:c>
      <x:c r="B23" s="31" t="str">
        <x:v>FY2025A</x:v>
      </x:c>
      <x:c r="C23" s="32" t="n">
        <x:v>60.5</x:v>
      </x:c>
      <x:c r="D23" s="32" t="n">
        <x:v>0</x:v>
      </x:c>
      <x:c r="E23" s="32" t="n">
        <x:v>62.1</x:v>
      </x:c>
      <x:c r="F23" s="32" t="n">
        <x:v>-1.6</x:v>
      </x:c>
    </x:row>
    <x:row r="24">
      <x:c r="A24" s="31" t="str">
        <x:v>TJX Companies Inc.</x:v>
      </x:c>
      <x:c r="B24" s="31" t="str">
        <x:v>FY2023A</x:v>
      </x:c>
      <x:c r="C24" s="32" t="n">
        <x:v>56.7</x:v>
      </x:c>
      <x:c r="D24" s="32" t="n">
        <x:v>3.7</x:v>
      </x:c>
      <x:c r="E24" s="32" t="n">
        <x:v>36.8</x:v>
      </x:c>
      <x:c r="F24" s="32" t="n">
        <x:v>23.6</x:v>
      </x:c>
    </x:row>
    <x:row r="25">
      <x:c r="A25" s="31" t="str">
        <x:v>TJX Companies Inc.</x:v>
      </x:c>
      <x:c r="B25" s="31" t="str">
        <x:v>FY2024A</x:v>
      </x:c>
      <x:c r="C25" s="32" t="n">
        <x:v>57.8</x:v>
      </x:c>
      <x:c r="D25" s="32" t="n">
        <x:v>3.5</x:v>
      </x:c>
      <x:c r="E25" s="32" t="n">
        <x:v>37.9</x:v>
      </x:c>
      <x:c r="F25" s="32" t="n">
        <x:v>23.4</x:v>
      </x:c>
    </x:row>
    <x:row r="26">
      <x:c r="A26" s="31" t="str">
        <x:v>TJX Companies Inc.</x:v>
      </x:c>
      <x:c r="B26" s="31" t="str">
        <x:v>FY2025A</x:v>
      </x:c>
      <x:c r="C26" s="32" t="n">
        <x:v>60.1</x:v>
      </x:c>
      <x:c r="D26" s="32" t="n">
        <x:v>3.5</x:v>
      </x:c>
      <x:c r="E26" s="32" t="n">
        <x:v>38.7</x:v>
      </x:c>
      <x:c r="F26" s="32" t="n">
        <x:v>24.9</x:v>
      </x:c>
    </x:row>
    <x:row r="27">
      <x:c r="A27" s="31" t="str">
        <x:v>Walmart Inc.</x:v>
      </x:c>
      <x:c r="B27" s="31" t="str">
        <x:v>FY2023A</x:v>
      </x:c>
      <x:c r="C27" s="32" t="n">
        <x:v>41.5</x:v>
      </x:c>
      <x:c r="D27" s="32" t="n">
        <x:v>4.7</x:v>
      </x:c>
      <x:c r="E27" s="32" t="n">
        <x:v>41.2</x:v>
      </x:c>
      <x:c r="F27" s="32" t="n">
        <x:v>5</x:v>
      </x:c>
    </x:row>
    <x:row r="28">
      <x:c r="A28" s="31" t="str">
        <x:v>Walmart Inc.</x:v>
      </x:c>
      <x:c r="B28" s="31" t="str">
        <x:v>FY2024A</x:v>
      </x:c>
      <x:c r="C28" s="32" t="n">
        <x:v>39.7</x:v>
      </x:c>
      <x:c r="D28" s="32" t="n">
        <x:v>5</x:v>
      </x:c>
      <x:c r="E28" s="32" t="n">
        <x:v>41.2</x:v>
      </x:c>
      <x:c r="F28" s="32" t="n">
        <x:v>3.5</x:v>
      </x:c>
    </x:row>
    <x:row r="29">
      <x:c r="A29" s="33" t="str">
        <x:v>Walmart Inc.</x:v>
      </x:c>
      <x:c r="B29" s="33" t="str">
        <x:v>FY2025A</x:v>
      </x:c>
      <x:c r="C29" s="34" t="n">
        <x:v>39.3</x:v>
      </x:c>
      <x:c r="D29" s="34" t="n">
        <x:v>5.4</x:v>
      </x:c>
      <x:c r="E29" s="34" t="n">
        <x:v>41.5</x:v>
      </x:c>
      <x:c r="F29" s="34" t="n">
        <x:v>3.2</x:v>
      </x:c>
    </x:row>
    <x:row r="32">
      <x:c r="A32" s="8" t="str">
        <x:v>AR Treatment</x:v>
      </x:c>
    </x:row>
    <x:row r="33">
      <x:c r="A33" s="39" t="str">
        <x:v>Target does not break out a material trade receivables balance, so AR is set to zero for DSO. Walmart, Costco, and TJX disclose receivables lines, and Dollar General discloses credit/debit card receivables; all are small relative to sales and should not be read as the main working-capital lever.</x:v>
      </x:c>
    </x:row>
  </x:sheetData>
  <x:mergeCells>
    <x:mergeCell ref="A1:J1"/>
    <x:mergeCell ref="A2:J2"/>
    <x:mergeCell ref="H5:J11"/>
    <x:mergeCell ref="A33:J3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889999866485596" hidden="0" customWidth="1"/>
    <x:col min="2" max="2" width="22.889999389648438" hidden="0" customWidth="1"/>
    <x:col min="3" max="3" width="8.779999732971191" hidden="0" customWidth="1"/>
    <x:col min="4" max="4" width="3.6700000762939453" hidden="0" customWidth="1"/>
    <x:col min="5" max="5" width="3.3299999237060547" hidden="0" customWidth="1"/>
    <x:col min="6" max="6" width="3.6700000762939453" hidden="0" customWidth="1"/>
    <x:col min="7" max="7" width="3.6700000762939453" hidden="0" customWidth="1"/>
  </x:cols>
  <x:sheetData>
    <x:row r="1">
      <x:c r="A1" s="2" t="str">
        <x:v>ticker</x:v>
      </x:c>
      <x:c r="B1" s="2" t="str">
        <x:v>name</x:v>
      </x:c>
      <x:c r="C1" s="2" t="str">
        <x:v>fiscal_year</x:v>
      </x:c>
      <x:c r="D1" s="2" t="str">
        <x:v>dio</x:v>
      </x:c>
      <x:c r="E1" s="2" t="str">
        <x:v>dso</x:v>
      </x:c>
      <x:c r="F1" s="2" t="str">
        <x:v>dpo</x:v>
      </x:c>
      <x:c r="G1" s="2" t="str">
        <x:v>ccc</x:v>
      </x:c>
    </x:row>
    <x:row r="2">
      <x:c r="A2" t="str">
        <x:v>COST</x:v>
      </x:c>
      <x:c r="B2" t="str">
        <x:v>Costco Wholesale Corporation</x:v>
      </x:c>
      <x:c r="C2" t="str">
        <x:v>FY2023A</x:v>
      </x:c>
      <x:c r="D2" s="3" t="n">
        <x:v>29.7</x:v>
      </x:c>
      <x:c r="E2" s="3" t="n">
        <x:v>3.4</x:v>
      </x:c>
      <x:c r="F2" s="3" t="n">
        <x:v>30.3</x:v>
      </x:c>
      <x:c r="G2" s="3" t="n">
        <x:v>2.8</x:v>
      </x:c>
    </x:row>
    <x:row r="3">
      <x:c r="A3" t="str">
        <x:v>COST</x:v>
      </x:c>
      <x:c r="B3" t="str">
        <x:v>Costco Wholesale Corporation</x:v>
      </x:c>
      <x:c r="C3" t="str">
        <x:v>FY2024A</x:v>
      </x:c>
      <x:c r="D3" s="3" t="n">
        <x:v>29</x:v>
      </x:c>
      <x:c r="E3" s="3" t="n">
        <x:v>3.6</x:v>
      </x:c>
      <x:c r="F3" s="3" t="n">
        <x:v>30.3</x:v>
      </x:c>
      <x:c r="G3" s="3" t="n">
        <x:v>2.3</x:v>
      </x:c>
    </x:row>
    <x:row r="4">
      <x:c r="A4" t="str">
        <x:v>COST</x:v>
      </x:c>
      <x:c r="B4" t="str">
        <x:v>Costco Wholesale Corporation</x:v>
      </x:c>
      <x:c r="C4" t="str">
        <x:v>FY2025A</x:v>
      </x:c>
      <x:c r="D4" s="3" t="n">
        <x:v>28</x:v>
      </x:c>
      <x:c r="E4" s="3" t="n">
        <x:v>3.9</x:v>
      </x:c>
      <x:c r="F4" s="3" t="n">
        <x:v>29.8</x:v>
      </x:c>
      <x:c r="G4" s="3" t="n">
        <x:v>2.1</x:v>
      </x:c>
    </x:row>
    <x:row r="5">
      <x:c r="A5" t="str">
        <x:v>DG</x:v>
      </x:c>
      <x:c r="B5" t="str">
        <x:v>Dollar General Corporation</x:v>
      </x:c>
      <x:c r="C5" t="str">
        <x:v>FY2023A</x:v>
      </x:c>
      <x:c r="D5" s="3" t="n">
        <x:v>93.1</x:v>
      </x:c>
      <x:c r="E5" s="3" t="n">
        <x:v>1.3</x:v>
      </x:c>
      <x:c r="F5" s="3" t="n">
        <x:v>48.3</x:v>
      </x:c>
      <x:c r="G5" s="3" t="n">
        <x:v>46.1</x:v>
      </x:c>
    </x:row>
    <x:row r="6">
      <x:c r="A6" t="str">
        <x:v>DG</x:v>
      </x:c>
      <x:c r="B6" t="str">
        <x:v>Dollar General Corporation</x:v>
      </x:c>
      <x:c r="C6" t="str">
        <x:v>FY2024A</x:v>
      </x:c>
      <x:c r="D6" s="3" t="n">
        <x:v>87.5</x:v>
      </x:c>
      <x:c r="E6" s="3" t="n">
        <x:v>0.9</x:v>
      </x:c>
      <x:c r="F6" s="3" t="n">
        <x:v>47.4</x:v>
      </x:c>
      <x:c r="G6" s="3" t="n">
        <x:v>41</x:v>
      </x:c>
    </x:row>
    <x:row r="7">
      <x:c r="A7" t="str">
        <x:v>DG</x:v>
      </x:c>
      <x:c r="B7" t="str">
        <x:v>Dollar General Corporation</x:v>
      </x:c>
      <x:c r="C7" t="str">
        <x:v>FY2025A</x:v>
      </x:c>
      <x:c r="D7" s="3" t="n">
        <x:v>80.4</x:v>
      </x:c>
      <x:c r="E7" s="3" t="n">
        <x:v>0.9</x:v>
      </x:c>
      <x:c r="F7" s="3" t="n">
        <x:v>48.6</x:v>
      </x:c>
      <x:c r="G7" s="3" t="n">
        <x:v>32.7</x:v>
      </x:c>
    </x:row>
    <x:row r="8">
      <x:c r="A8" t="str">
        <x:v>TGT</x:v>
      </x:c>
      <x:c r="B8" t="str">
        <x:v>Target Corporation</x:v>
      </x:c>
      <x:c r="C8" t="str">
        <x:v>FY2023A</x:v>
      </x:c>
      <x:c r="D8" s="3" t="n">
        <x:v>59.5</x:v>
      </x:c>
      <x:c r="E8" s="3" t="n">
        <x:v>0</x:v>
      </x:c>
      <x:c r="F8" s="3" t="n">
        <x:v>60</x:v>
      </x:c>
      <x:c r="G8" s="3" t="n">
        <x:v>-0.5</x:v>
      </x:c>
    </x:row>
    <x:row r="9">
      <x:c r="A9" t="str">
        <x:v>TGT</x:v>
      </x:c>
      <x:c r="B9" t="str">
        <x:v>Target Corporation</x:v>
      </x:c>
      <x:c r="C9" t="str">
        <x:v>FY2024A</x:v>
      </x:c>
      <x:c r="D9" s="3" t="n">
        <x:v>58.7</x:v>
      </x:c>
      <x:c r="E9" s="3" t="n">
        <x:v>0</x:v>
      </x:c>
      <x:c r="F9" s="3" t="n">
        <x:v>60</x:v>
      </x:c>
      <x:c r="G9" s="3" t="n">
        <x:v>-1.3</x:v>
      </x:c>
    </x:row>
    <x:row r="10">
      <x:c r="A10" t="str">
        <x:v>TGT</x:v>
      </x:c>
      <x:c r="B10" t="str">
        <x:v>Target Corporation</x:v>
      </x:c>
      <x:c r="C10" t="str">
        <x:v>FY2025A</x:v>
      </x:c>
      <x:c r="D10" s="3" t="n">
        <x:v>60.5</x:v>
      </x:c>
      <x:c r="E10" s="3" t="n">
        <x:v>0</x:v>
      </x:c>
      <x:c r="F10" s="3" t="n">
        <x:v>62.1</x:v>
      </x:c>
      <x:c r="G10" s="3" t="n">
        <x:v>-1.6</x:v>
      </x:c>
    </x:row>
    <x:row r="11">
      <x:c r="A11" t="str">
        <x:v>TJX</x:v>
      </x:c>
      <x:c r="B11" t="str">
        <x:v>TJX Companies Inc.</x:v>
      </x:c>
      <x:c r="C11" t="str">
        <x:v>FY2023A</x:v>
      </x:c>
      <x:c r="D11" s="3" t="n">
        <x:v>56.7</x:v>
      </x:c>
      <x:c r="E11" s="3" t="n">
        <x:v>3.7</x:v>
      </x:c>
      <x:c r="F11" s="3" t="n">
        <x:v>36.8</x:v>
      </x:c>
      <x:c r="G11" s="3" t="n">
        <x:v>23.6</x:v>
      </x:c>
    </x:row>
    <x:row r="12">
      <x:c r="A12" t="str">
        <x:v>TJX</x:v>
      </x:c>
      <x:c r="B12" t="str">
        <x:v>TJX Companies Inc.</x:v>
      </x:c>
      <x:c r="C12" t="str">
        <x:v>FY2024A</x:v>
      </x:c>
      <x:c r="D12" s="3" t="n">
        <x:v>57.8</x:v>
      </x:c>
      <x:c r="E12" s="3" t="n">
        <x:v>3.5</x:v>
      </x:c>
      <x:c r="F12" s="3" t="n">
        <x:v>37.9</x:v>
      </x:c>
      <x:c r="G12" s="3" t="n">
        <x:v>23.4</x:v>
      </x:c>
    </x:row>
    <x:row r="13">
      <x:c r="A13" t="str">
        <x:v>TJX</x:v>
      </x:c>
      <x:c r="B13" t="str">
        <x:v>TJX Companies Inc.</x:v>
      </x:c>
      <x:c r="C13" t="str">
        <x:v>FY2025A</x:v>
      </x:c>
      <x:c r="D13" s="3" t="n">
        <x:v>60.1</x:v>
      </x:c>
      <x:c r="E13" s="3" t="n">
        <x:v>3.5</x:v>
      </x:c>
      <x:c r="F13" s="3" t="n">
        <x:v>38.7</x:v>
      </x:c>
      <x:c r="G13" s="3" t="n">
        <x:v>24.9</x:v>
      </x:c>
    </x:row>
    <x:row r="14">
      <x:c r="A14" t="str">
        <x:v>WMT</x:v>
      </x:c>
      <x:c r="B14" t="str">
        <x:v>Walmart Inc.</x:v>
      </x:c>
      <x:c r="C14" t="str">
        <x:v>FY2023A</x:v>
      </x:c>
      <x:c r="D14" s="3" t="n">
        <x:v>41.5</x:v>
      </x:c>
      <x:c r="E14" s="3" t="n">
        <x:v>4.7</x:v>
      </x:c>
      <x:c r="F14" s="3" t="n">
        <x:v>41.2</x:v>
      </x:c>
      <x:c r="G14" s="3" t="n">
        <x:v>5</x:v>
      </x:c>
    </x:row>
    <x:row r="15">
      <x:c r="A15" t="str">
        <x:v>WMT</x:v>
      </x:c>
      <x:c r="B15" t="str">
        <x:v>Walmart Inc.</x:v>
      </x:c>
      <x:c r="C15" t="str">
        <x:v>FY2024A</x:v>
      </x:c>
      <x:c r="D15" s="3" t="n">
        <x:v>39.7</x:v>
      </x:c>
      <x:c r="E15" s="3" t="n">
        <x:v>5</x:v>
      </x:c>
      <x:c r="F15" s="3" t="n">
        <x:v>41.2</x:v>
      </x:c>
      <x:c r="G15" s="3" t="n">
        <x:v>3.5</x:v>
      </x:c>
    </x:row>
    <x:row r="16">
      <x:c r="A16" t="str">
        <x:v>WMT</x:v>
      </x:c>
      <x:c r="B16" t="str">
        <x:v>Walmart Inc.</x:v>
      </x:c>
      <x:c r="C16" t="str">
        <x:v>FY2025A</x:v>
      </x:c>
      <x:c r="D16" s="3" t="n">
        <x:v>39.3</x:v>
      </x:c>
      <x:c r="E16" s="3" t="n">
        <x:v>5.4</x:v>
      </x:c>
      <x:c r="F16" s="3" t="n">
        <x:v>41.5</x:v>
      </x:c>
      <x:c r="G16" s="3" t="n">
        <x:v>3.2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890000343322754" hidden="0" customWidth="1"/>
    <x:col min="2" max="2" width="4.889999866485596" hidden="0" customWidth="1"/>
    <x:col min="3" max="3" width="22.889999389648438" hidden="0" customWidth="1"/>
    <x:col min="4" max="4" width="18.440000534057617" hidden="0" customWidth="1"/>
    <x:col min="5" max="5" width="15" hidden="0" customWidth="1"/>
    <x:col min="6" max="6" width="16" hidden="0" customWidth="1"/>
    <x:col min="7" max="7" width="15.329999923706055" hidden="0" customWidth="1"/>
    <x:col min="8" max="8" width="9" hidden="0" customWidth="1"/>
    <x:col min="9" max="9" width="18.110000610351562" hidden="0" customWidth="1"/>
    <x:col min="10" max="10" width="42" hidden="0" customWidth="1"/>
    <x:col min="11" max="11" width="7.78000020980835" hidden="0" customWidth="1"/>
    <x:col min="12" max="12" width="7.78000020980835" hidden="0" customWidth="1"/>
    <x:col min="13" max="13" width="7.670000076293945" hidden="0" customWidth="1"/>
    <x:col min="14" max="14" width="16.440000534057617" hidden="0" customWidth="1"/>
    <x:col min="15" max="15" width="14.5600004196167" hidden="0" customWidth="1"/>
    <x:col min="16" max="16" width="42" hidden="0" customWidth="1"/>
    <x:col min="17" max="17" width="44.11000061035156" hidden="0" customWidth="1"/>
    <x:col min="18" max="18" width="23" hidden="0" customWidth="1"/>
    <x:col min="19" max="19" width="11" hidden="0" customWidth="1"/>
    <x:col min="20" max="20" width="35.66999816894531" hidden="0" customWidth="1"/>
    <x:col min="21" max="21" width="18.670000076293945" hidden="0" customWidth="1"/>
  </x:cols>
  <x:sheetData>
    <x:row r="1">
      <x:c r="A1" s="2" t="str">
        <x:v>company_id</x:v>
      </x:c>
      <x:c r="B1" s="2" t="str">
        <x:v>ticker</x:v>
      </x:c>
      <x:c r="C1" s="2" t="str">
        <x:v>name</x:v>
      </x:c>
      <x:c r="D1" s="2" t="str">
        <x:v>benchmark_fiscal_year</x:v>
      </x:c>
      <x:c r="E1" s="2" t="str">
        <x:v>source_fiscal_year</x:v>
      </x:c>
      <x:c r="F1" s="2" t="str">
        <x:v>source_period_start</x:v>
      </x:c>
      <x:c r="G1" s="2" t="str">
        <x:v>source_period_end</x:v>
      </x:c>
      <x:c r="H1" s="2" t="str">
        <x:v>filing_date</x:v>
      </x:c>
      <x:c r="I1" s="2" t="str">
        <x:v>accession</x:v>
      </x:c>
      <x:c r="J1" s="5" t="str">
        <x:v>source_url</x:v>
      </x:c>
      <x:c r="K1" s="2" t="str">
        <x:v>revenue</x:v>
      </x:c>
      <x:c r="L1" s="2" t="str">
        <x:v>cogs</x:v>
      </x:c>
      <x:c r="M1" s="2" t="str">
        <x:v>inventory</x:v>
      </x:c>
      <x:c r="N1" s="2" t="str">
        <x:v>accounts_receivable</x:v>
      </x:c>
      <x:c r="O1" s="2" t="str">
        <x:v>accounts_payable</x:v>
      </x:c>
      <x:c r="P1" s="5" t="str">
        <x:v>ar_treatment</x:v>
      </x:c>
      <x:c r="Q1" s="2" t="str">
        <x:v>revenue_tag</x:v>
      </x:c>
      <x:c r="R1" s="2" t="str">
        <x:v>cogs_tag</x:v>
      </x:c>
      <x:c r="S1" s="2" t="str">
        <x:v>inventory_tag</x:v>
      </x:c>
      <x:c r="T1" s="2" t="str">
        <x:v>ar_tag</x:v>
      </x:c>
      <x:c r="U1" s="2" t="str">
        <x:v>ap_tag</x:v>
      </x:c>
    </x:row>
    <x:row r="2">
      <x:c r="A2" t="n">
        <x:v>1</x:v>
      </x:c>
      <x:c r="B2" t="str">
        <x:v>TGT</x:v>
      </x:c>
      <x:c r="C2" t="str">
        <x:v>Target Corporation</x:v>
      </x:c>
      <x:c r="D2" t="str">
        <x:v>FY2022A</x:v>
      </x:c>
      <x:c r="E2" t="n">
        <x:v>2022</x:v>
      </x:c>
      <x:c r="F2" t="str">
        <x:v>2022-01-30</x:v>
      </x:c>
      <x:c r="G2" t="str">
        <x:v>2023-01-28</x:v>
      </x:c>
      <x:c r="H2" t="str">
        <x:v>2023-03-08</x:v>
      </x:c>
      <x:c r="I2" t="str">
        <x:v>0000027419-23-000015</x:v>
      </x:c>
      <x:c r="J2" t="str">
        <x:v>https://www.sec.gov/Archives/edgar/data/27419/000002741923000015/tgt-20230128.htm</x:v>
      </x:c>
      <x:c r="K2" s="4" t="n">
        <x:v>109120</x:v>
      </x:c>
      <x:c r="L2" s="4" t="n">
        <x:v>82229</x:v>
      </x:c>
      <x:c r="M2" s="4" t="n">
        <x:v>13499</x:v>
      </x:c>
      <x:c r="N2" s="4" t="n">
        <x:v>0</x:v>
      </x:c>
      <x:c r="O2" s="4" t="n">
        <x:v>13487</x:v>
      </x:c>
      <x:c r="P2" t="str">
        <x:v>No separate trade AR line; treated as immaterial/absent for DSO</x:v>
      </x:c>
      <x:c r="Q2" t="str">
        <x:v>RevenueFromContractWithCustomerExcludingAssessedTax</x:v>
      </x:c>
      <x:c r="R2" t="str">
        <x:v>CostOfGoodsAndServicesSold</x:v>
      </x:c>
      <x:c r="S2" t="str">
        <x:v>InventoryNet</x:v>
      </x:c>
      <x:c r="T2" t="str">
        <x:v>No separate AR line</x:v>
      </x:c>
      <x:c r="U2" t="str">
        <x:v>AccountsPayableCurrent</x:v>
      </x:c>
    </x:row>
    <x:row r="3">
      <x:c r="A3" t="n">
        <x:v>1</x:v>
      </x:c>
      <x:c r="B3" t="str">
        <x:v>TGT</x:v>
      </x:c>
      <x:c r="C3" t="str">
        <x:v>Target Corporation</x:v>
      </x:c>
      <x:c r="D3" t="str">
        <x:v>FY2023A</x:v>
      </x:c>
      <x:c r="E3" t="n">
        <x:v>2023</x:v>
      </x:c>
      <x:c r="F3" t="str">
        <x:v>2023-01-29</x:v>
      </x:c>
      <x:c r="G3" t="str">
        <x:v>2024-02-03</x:v>
      </x:c>
      <x:c r="H3" t="str">
        <x:v>2025-03-12</x:v>
      </x:c>
      <x:c r="I3" t="str">
        <x:v>0000027419-25-000018</x:v>
      </x:c>
      <x:c r="J3" t="str">
        <x:v>https://www.sec.gov/Archives/edgar/data/27419/000002741925000018/tgt-20250201.htm</x:v>
      </x:c>
      <x:c r="K3" s="4" t="n">
        <x:v>107412</x:v>
      </x:c>
      <x:c r="L3" s="4" t="n">
        <x:v>77828</x:v>
      </x:c>
      <x:c r="M3" s="4" t="n">
        <x:v>11886</x:v>
      </x:c>
      <x:c r="N3" s="4" t="n">
        <x:v>0</x:v>
      </x:c>
      <x:c r="O3" s="4" t="n">
        <x:v>12098</x:v>
      </x:c>
      <x:c r="P3" t="str">
        <x:v>FY2023 cost of sales uses the $92m reclassified presentation reported in Target's FY2024 Form 10-K; no separate trade AR line</x:v>
      </x:c>
      <x:c r="Q3" t="str">
        <x:v>RevenueFromContractWithCustomerExcludingAssessedTax</x:v>
      </x:c>
      <x:c r="R3" t="str">
        <x:v>CostOfGoodsAndServicesSold</x:v>
      </x:c>
      <x:c r="S3" t="str">
        <x:v>InventoryNet</x:v>
      </x:c>
      <x:c r="T3" t="str">
        <x:v>No separate AR line</x:v>
      </x:c>
      <x:c r="U3" t="str">
        <x:v>AccountsPayableCurrent</x:v>
      </x:c>
    </x:row>
    <x:row r="4">
      <x:c r="A4" t="n">
        <x:v>1</x:v>
      </x:c>
      <x:c r="B4" t="str">
        <x:v>TGT</x:v>
      </x:c>
      <x:c r="C4" t="str">
        <x:v>Target Corporation</x:v>
      </x:c>
      <x:c r="D4" t="str">
        <x:v>FY2024A</x:v>
      </x:c>
      <x:c r="E4" t="n">
        <x:v>2024</x:v>
      </x:c>
      <x:c r="F4" t="str">
        <x:v>2024-02-04</x:v>
      </x:c>
      <x:c r="G4" t="str">
        <x:v>2025-02-01</x:v>
      </x:c>
      <x:c r="H4" t="str">
        <x:v>2025-03-12</x:v>
      </x:c>
      <x:c r="I4" t="str">
        <x:v>0000027419-25-000018</x:v>
      </x:c>
      <x:c r="J4" t="str">
        <x:v>https://www.sec.gov/Archives/edgar/data/27419/000002741925000018/tgt-20250201.htm</x:v>
      </x:c>
      <x:c r="K4" s="4" t="n">
        <x:v>106566</x:v>
      </x:c>
      <x:c r="L4" s="4" t="n">
        <x:v>76502</x:v>
      </x:c>
      <x:c r="M4" s="4" t="n">
        <x:v>12740</x:v>
      </x:c>
      <x:c r="N4" s="4" t="n">
        <x:v>0</x:v>
      </x:c>
      <x:c r="O4" s="4" t="n">
        <x:v>13053</x:v>
      </x:c>
      <x:c r="P4" t="str">
        <x:v>No separate trade AR line; treated as immaterial/absent for DSO</x:v>
      </x:c>
      <x:c r="Q4" t="str">
        <x:v>RevenueFromContractWithCustomerExcludingAssessedTax</x:v>
      </x:c>
      <x:c r="R4" t="str">
        <x:v>CostOfGoodsAndServicesSold</x:v>
      </x:c>
      <x:c r="S4" t="str">
        <x:v>InventoryNet</x:v>
      </x:c>
      <x:c r="T4" t="str">
        <x:v>No separate AR line</x:v>
      </x:c>
      <x:c r="U4" t="str">
        <x:v>AccountsPayableCurrent</x:v>
      </x:c>
    </x:row>
    <x:row r="5">
      <x:c r="A5" t="n">
        <x:v>1</x:v>
      </x:c>
      <x:c r="B5" t="str">
        <x:v>TGT</x:v>
      </x:c>
      <x:c r="C5" t="str">
        <x:v>Target Corporation</x:v>
      </x:c>
      <x:c r="D5" t="str">
        <x:v>FY2025A</x:v>
      </x:c>
      <x:c r="E5" t="n">
        <x:v>2025</x:v>
      </x:c>
      <x:c r="F5" t="str">
        <x:v>2025-02-02</x:v>
      </x:c>
      <x:c r="G5" t="str">
        <x:v>2026-01-31</x:v>
      </x:c>
      <x:c r="H5" t="str">
        <x:v>2026-03-11</x:v>
      </x:c>
      <x:c r="I5" t="str">
        <x:v>0000027419-26-000016</x:v>
      </x:c>
      <x:c r="J5" t="str">
        <x:v>https://www.sec.gov/Archives/edgar/data/27419/000002741926000016/tgt-20260131.htm</x:v>
      </x:c>
      <x:c r="K5" s="4" t="n">
        <x:v>104780</x:v>
      </x:c>
      <x:c r="L5" s="4" t="n">
        <x:v>75511</x:v>
      </x:c>
      <x:c r="M5" s="4" t="n">
        <x:v>12304</x:v>
      </x:c>
      <x:c r="N5" s="4" t="n">
        <x:v>0</x:v>
      </x:c>
      <x:c r="O5" s="4" t="n">
        <x:v>12622</x:v>
      </x:c>
      <x:c r="P5" t="str">
        <x:v>No separate trade AR line; treated as immaterial/absent for DSO</x:v>
      </x:c>
      <x:c r="Q5" t="str">
        <x:v>RevenueFromContractWithCustomerExcludingAssessedTax</x:v>
      </x:c>
      <x:c r="R5" t="str">
        <x:v>CostOfGoodsAndServicesSold</x:v>
      </x:c>
      <x:c r="S5" t="str">
        <x:v>InventoryNet</x:v>
      </x:c>
      <x:c r="T5" t="str">
        <x:v>No separate AR line</x:v>
      </x:c>
      <x:c r="U5" t="str">
        <x:v>AccountsPayableCurrent</x:v>
      </x:c>
    </x:row>
    <x:row r="6">
      <x:c r="A6" t="n">
        <x:v>2</x:v>
      </x:c>
      <x:c r="B6" t="str">
        <x:v>WMT</x:v>
      </x:c>
      <x:c r="C6" t="str">
        <x:v>Walmart Inc.</x:v>
      </x:c>
      <x:c r="D6" t="str">
        <x:v>FY2022A</x:v>
      </x:c>
      <x:c r="E6" t="n">
        <x:v>2023</x:v>
      </x:c>
      <x:c r="F6" t="str">
        <x:v>2022-02-01</x:v>
      </x:c>
      <x:c r="G6" t="str">
        <x:v>2023-01-31</x:v>
      </x:c>
      <x:c r="H6" t="str">
        <x:v>2023-03-17</x:v>
      </x:c>
      <x:c r="I6" t="str">
        <x:v>0000104169-23-000020</x:v>
      </x:c>
      <x:c r="J6" t="str">
        <x:v>https://www.sec.gov/Archives/edgar/data/104169/000010416923000020/wmt-20230131.htm</x:v>
      </x:c>
      <x:c r="K6" s="4" t="n">
        <x:v>611289</x:v>
      </x:c>
      <x:c r="L6" s="4" t="n">
        <x:v>463721</x:v>
      </x:c>
      <x:c r="M6" s="4" t="n">
        <x:v>56576</x:v>
      </x:c>
      <x:c r="N6" s="4" t="n">
        <x:v>7933</x:v>
      </x:c>
      <x:c r="O6" s="4" t="n">
        <x:v>53742</x:v>
      </x:c>
      <x:c r="P6" t="str">
        <x:v>Receivables disclosed separately; not a primary retail trade-AR driver</x:v>
      </x:c>
      <x:c r="Q6" t="str">
        <x:v>Revenues</x:v>
      </x:c>
      <x:c r="R6" t="str">
        <x:v>CostOfRevenue</x:v>
      </x:c>
      <x:c r="S6" t="str">
        <x:v>InventoryNet</x:v>
      </x:c>
      <x:c r="T6" t="str">
        <x:v>ReceivablesNetCurrent</x:v>
      </x:c>
      <x:c r="U6" t="str">
        <x:v>AccountsPayableCurrent</x:v>
      </x:c>
    </x:row>
    <x:row r="7">
      <x:c r="A7" t="n">
        <x:v>2</x:v>
      </x:c>
      <x:c r="B7" t="str">
        <x:v>WMT</x:v>
      </x:c>
      <x:c r="C7" t="str">
        <x:v>Walmart Inc.</x:v>
      </x:c>
      <x:c r="D7" t="str">
        <x:v>FY2023A</x:v>
      </x:c>
      <x:c r="E7" t="n">
        <x:v>2024</x:v>
      </x:c>
      <x:c r="F7" t="str">
        <x:v>2023-02-01</x:v>
      </x:c>
      <x:c r="G7" t="str">
        <x:v>2024-01-31</x:v>
      </x:c>
      <x:c r="H7" t="str">
        <x:v>2024-03-15</x:v>
      </x:c>
      <x:c r="I7" t="str">
        <x:v>0000104169-24-000056</x:v>
      </x:c>
      <x:c r="J7" t="str">
        <x:v>https://www.sec.gov/Archives/edgar/data/104169/000010416924000056/wmt-20240131.htm</x:v>
      </x:c>
      <x:c r="K7" s="4" t="n">
        <x:v>648125</x:v>
      </x:c>
      <x:c r="L7" s="4" t="n">
        <x:v>490142</x:v>
      </x:c>
      <x:c r="M7" s="4" t="n">
        <x:v>54892</x:v>
      </x:c>
      <x:c r="N7" s="4" t="n">
        <x:v>8796</x:v>
      </x:c>
      <x:c r="O7" s="4" t="n">
        <x:v>56812</x:v>
      </x:c>
      <x:c r="P7" t="str">
        <x:v>Receivables disclosed separately; not a primary retail trade-AR driver</x:v>
      </x:c>
      <x:c r="Q7" t="str">
        <x:v>Revenues</x:v>
      </x:c>
      <x:c r="R7" t="str">
        <x:v>CostOfRevenue</x:v>
      </x:c>
      <x:c r="S7" t="str">
        <x:v>InventoryNet</x:v>
      </x:c>
      <x:c r="T7" t="str">
        <x:v>ReceivablesNetCurrent</x:v>
      </x:c>
      <x:c r="U7" t="str">
        <x:v>AccountsPayableCurrent</x:v>
      </x:c>
    </x:row>
    <x:row r="8">
      <x:c r="A8" t="n">
        <x:v>2</x:v>
      </x:c>
      <x:c r="B8" t="str">
        <x:v>WMT</x:v>
      </x:c>
      <x:c r="C8" t="str">
        <x:v>Walmart Inc.</x:v>
      </x:c>
      <x:c r="D8" t="str">
        <x:v>FY2024A</x:v>
      </x:c>
      <x:c r="E8" t="n">
        <x:v>2025</x:v>
      </x:c>
      <x:c r="F8" t="str">
        <x:v>2024-02-01</x:v>
      </x:c>
      <x:c r="G8" t="str">
        <x:v>2025-01-31</x:v>
      </x:c>
      <x:c r="H8" t="str">
        <x:v>2025-03-14</x:v>
      </x:c>
      <x:c r="I8" t="str">
        <x:v>0000104169-25-000021</x:v>
      </x:c>
      <x:c r="J8" t="str">
        <x:v>https://www.sec.gov/Archives/edgar/data/104169/000010416925000021/wmt-20250131.htm</x:v>
      </x:c>
      <x:c r="K8" s="4" t="n">
        <x:v>680985</x:v>
      </x:c>
      <x:c r="L8" s="4" t="n">
        <x:v>511753</x:v>
      </x:c>
      <x:c r="M8" s="4" t="n">
        <x:v>56435</x:v>
      </x:c>
      <x:c r="N8" s="4" t="n">
        <x:v>9975</x:v>
      </x:c>
      <x:c r="O8" s="4" t="n">
        <x:v>58666</x:v>
      </x:c>
      <x:c r="P8" t="str">
        <x:v>Receivables disclosed separately; not a primary retail trade-AR driver</x:v>
      </x:c>
      <x:c r="Q8" t="str">
        <x:v>Revenues</x:v>
      </x:c>
      <x:c r="R8" t="str">
        <x:v>CostOfRevenue</x:v>
      </x:c>
      <x:c r="S8" t="str">
        <x:v>InventoryNet</x:v>
      </x:c>
      <x:c r="T8" t="str">
        <x:v>ReceivablesNetCurrent</x:v>
      </x:c>
      <x:c r="U8" t="str">
        <x:v>AccountsPayableCurrent</x:v>
      </x:c>
    </x:row>
    <x:row r="9">
      <x:c r="A9" t="n">
        <x:v>2</x:v>
      </x:c>
      <x:c r="B9" t="str">
        <x:v>WMT</x:v>
      </x:c>
      <x:c r="C9" t="str">
        <x:v>Walmart Inc.</x:v>
      </x:c>
      <x:c r="D9" t="str">
        <x:v>FY2025A</x:v>
      </x:c>
      <x:c r="E9" t="n">
        <x:v>2026</x:v>
      </x:c>
      <x:c r="F9" t="str">
        <x:v>2025-02-01</x:v>
      </x:c>
      <x:c r="G9" t="str">
        <x:v>2026-01-31</x:v>
      </x:c>
      <x:c r="H9" t="str">
        <x:v>2026-03-13</x:v>
      </x:c>
      <x:c r="I9" t="str">
        <x:v>0000104169-26-000055</x:v>
      </x:c>
      <x:c r="J9" t="str">
        <x:v>https://www.sec.gov/Archives/edgar/data/104169/000010416926000055/wmt-20260131.htm</x:v>
      </x:c>
      <x:c r="K9" s="4" t="n">
        <x:v>713163</x:v>
      </x:c>
      <x:c r="L9" s="4" t="n">
        <x:v>535395</x:v>
      </x:c>
      <x:c r="M9" s="4" t="n">
        <x:v>58851</x:v>
      </x:c>
      <x:c r="N9" s="4" t="n">
        <x:v>11172</x:v>
      </x:c>
      <x:c r="O9" s="4" t="n">
        <x:v>63061</x:v>
      </x:c>
      <x:c r="P9" t="str">
        <x:v>Receivables disclosed separately; not a primary retail trade-AR driver</x:v>
      </x:c>
      <x:c r="Q9" t="str">
        <x:v>Revenues</x:v>
      </x:c>
      <x:c r="R9" t="str">
        <x:v>CostOfRevenue</x:v>
      </x:c>
      <x:c r="S9" t="str">
        <x:v>InventoryNet</x:v>
      </x:c>
      <x:c r="T9" t="str">
        <x:v>ReceivablesNetCurrent</x:v>
      </x:c>
      <x:c r="U9" t="str">
        <x:v>AccountsPayableCurrent</x:v>
      </x:c>
    </x:row>
    <x:row r="10">
      <x:c r="A10" t="n">
        <x:v>3</x:v>
      </x:c>
      <x:c r="B10" t="str">
        <x:v>COST</x:v>
      </x:c>
      <x:c r="C10" t="str">
        <x:v>Costco Wholesale Corporation</x:v>
      </x:c>
      <x:c r="D10" t="str">
        <x:v>FY2022A</x:v>
      </x:c>
      <x:c r="E10" t="n">
        <x:v>2022</x:v>
      </x:c>
      <x:c r="F10" t="str">
        <x:v>2021-08-30</x:v>
      </x:c>
      <x:c r="G10" t="str">
        <x:v>2022-08-28</x:v>
      </x:c>
      <x:c r="H10" t="str">
        <x:v>2022-10-05</x:v>
      </x:c>
      <x:c r="I10" t="str">
        <x:v>0000909832-22-000021</x:v>
      </x:c>
      <x:c r="J10" t="str">
        <x:v>https://www.sec.gov/Archives/edgar/data/909832/000090983222000021/cost-20220828.htm</x:v>
      </x:c>
      <x:c r="K10" s="4" t="n">
        <x:v>226954</x:v>
      </x:c>
      <x:c r="L10" s="4" t="n">
        <x:v>199382</x:v>
      </x:c>
      <x:c r="M10" s="4" t="n">
        <x:v>17907</x:v>
      </x:c>
      <x:c r="N10" s="4" t="n">
        <x:v>2241</x:v>
      </x:c>
      <x:c r="O10" s="4" t="n">
        <x:v>17848</x:v>
      </x:c>
      <x:c r="P10" t="str">
        <x:v>Receivables disclosed separately; Costco fiscal year ends in late August/early September</x:v>
      </x:c>
      <x:c r="Q10" t="str">
        <x:v>Revenues</x:v>
      </x:c>
      <x:c r="R10" t="str">
        <x:v>CostOfGoodsAndServicesSold</x:v>
      </x:c>
      <x:c r="S10" t="str">
        <x:v>InventoryNet</x:v>
      </x:c>
      <x:c r="T10" t="str">
        <x:v>ReceivablesNetCurrent</x:v>
      </x:c>
      <x:c r="U10" t="str">
        <x:v>AccountsPayableCurrent</x:v>
      </x:c>
    </x:row>
    <x:row r="11">
      <x:c r="A11" t="n">
        <x:v>3</x:v>
      </x:c>
      <x:c r="B11" t="str">
        <x:v>COST</x:v>
      </x:c>
      <x:c r="C11" t="str">
        <x:v>Costco Wholesale Corporation</x:v>
      </x:c>
      <x:c r="D11" t="str">
        <x:v>FY2023A</x:v>
      </x:c>
      <x:c r="E11" t="n">
        <x:v>2023</x:v>
      </x:c>
      <x:c r="F11" t="str">
        <x:v>2022-08-29</x:v>
      </x:c>
      <x:c r="G11" t="str">
        <x:v>2023-09-03</x:v>
      </x:c>
      <x:c r="H11" t="str">
        <x:v>2023-10-11</x:v>
      </x:c>
      <x:c r="I11" t="str">
        <x:v>0000909832-23-000042</x:v>
      </x:c>
      <x:c r="J11" t="str">
        <x:v>https://www.sec.gov/Archives/edgar/data/909832/000090983223000042/cost-20230903.htm</x:v>
      </x:c>
      <x:c r="K11" s="4" t="n">
        <x:v>242290</x:v>
      </x:c>
      <x:c r="L11" s="4" t="n">
        <x:v>212586</x:v>
      </x:c>
      <x:c r="M11" s="4" t="n">
        <x:v>16651</x:v>
      </x:c>
      <x:c r="N11" s="4" t="n">
        <x:v>2285</x:v>
      </x:c>
      <x:c r="O11" s="4" t="n">
        <x:v>17483</x:v>
      </x:c>
      <x:c r="P11" t="str">
        <x:v>Receivables disclosed separately; Costco fiscal year ends in late August/early September</x:v>
      </x:c>
      <x:c r="Q11" t="str">
        <x:v>Revenues</x:v>
      </x:c>
      <x:c r="R11" t="str">
        <x:v>CostOfGoodsAndServicesSold</x:v>
      </x:c>
      <x:c r="S11" t="str">
        <x:v>InventoryNet</x:v>
      </x:c>
      <x:c r="T11" t="str">
        <x:v>ReceivablesNetCurrent</x:v>
      </x:c>
      <x:c r="U11" t="str">
        <x:v>AccountsPayableCurrent</x:v>
      </x:c>
    </x:row>
    <x:row r="12">
      <x:c r="A12" t="n">
        <x:v>3</x:v>
      </x:c>
      <x:c r="B12" t="str">
        <x:v>COST</x:v>
      </x:c>
      <x:c r="C12" t="str">
        <x:v>Costco Wholesale Corporation</x:v>
      </x:c>
      <x:c r="D12" t="str">
        <x:v>FY2024A</x:v>
      </x:c>
      <x:c r="E12" t="n">
        <x:v>2024</x:v>
      </x:c>
      <x:c r="F12" t="str">
        <x:v>2023-09-04</x:v>
      </x:c>
      <x:c r="G12" t="str">
        <x:v>2024-09-01</x:v>
      </x:c>
      <x:c r="H12" t="str">
        <x:v>2024-10-09</x:v>
      </x:c>
      <x:c r="I12" t="str">
        <x:v>0000909832-24-000049</x:v>
      </x:c>
      <x:c r="J12" t="str">
        <x:v>https://www.sec.gov/Archives/edgar/data/909832/000090983224000049/cost-20240901.htm</x:v>
      </x:c>
      <x:c r="K12" s="4" t="n">
        <x:v>254453</x:v>
      </x:c>
      <x:c r="L12" s="4" t="n">
        <x:v>222358</x:v>
      </x:c>
      <x:c r="M12" s="4" t="n">
        <x:v>18647</x:v>
      </x:c>
      <x:c r="N12" s="4" t="n">
        <x:v>2721</x:v>
      </x:c>
      <x:c r="O12" s="4" t="n">
        <x:v>19421</x:v>
      </x:c>
      <x:c r="P12" t="str">
        <x:v>Receivables disclosed separately; Costco fiscal year ends in late August/early September</x:v>
      </x:c>
      <x:c r="Q12" t="str">
        <x:v>Revenues</x:v>
      </x:c>
      <x:c r="R12" t="str">
        <x:v>CostOfGoodsAndServicesSold</x:v>
      </x:c>
      <x:c r="S12" t="str">
        <x:v>InventoryNet</x:v>
      </x:c>
      <x:c r="T12" t="str">
        <x:v>ReceivablesNetCurrent</x:v>
      </x:c>
      <x:c r="U12" t="str">
        <x:v>AccountsPayableCurrent</x:v>
      </x:c>
    </x:row>
    <x:row r="13">
      <x:c r="A13" t="n">
        <x:v>3</x:v>
      </x:c>
      <x:c r="B13" t="str">
        <x:v>COST</x:v>
      </x:c>
      <x:c r="C13" t="str">
        <x:v>Costco Wholesale Corporation</x:v>
      </x:c>
      <x:c r="D13" t="str">
        <x:v>FY2025A</x:v>
      </x:c>
      <x:c r="E13" t="n">
        <x:v>2025</x:v>
      </x:c>
      <x:c r="F13" t="str">
        <x:v>2024-09-02</x:v>
      </x:c>
      <x:c r="G13" t="str">
        <x:v>2025-08-31</x:v>
      </x:c>
      <x:c r="H13" t="str">
        <x:v>2025-10-08</x:v>
      </x:c>
      <x:c r="I13" t="str">
        <x:v>0000909832-25-000101</x:v>
      </x:c>
      <x:c r="J13" t="str">
        <x:v>https://www.sec.gov/Archives/edgar/data/909832/000090983225000101/cost-20250831.htm</x:v>
      </x:c>
      <x:c r="K13" s="4" t="n">
        <x:v>275235</x:v>
      </x:c>
      <x:c r="L13" s="4" t="n">
        <x:v>239886</x:v>
      </x:c>
      <x:c r="M13" s="4" t="n">
        <x:v>18116</x:v>
      </x:c>
      <x:c r="N13" s="4" t="n">
        <x:v>3203</x:v>
      </x:c>
      <x:c r="O13" s="4" t="n">
        <x:v>19783</x:v>
      </x:c>
      <x:c r="P13" t="str">
        <x:v>Receivables disclosed separately; Costco fiscal year ends in late August/early September</x:v>
      </x:c>
      <x:c r="Q13" t="str">
        <x:v>Revenues</x:v>
      </x:c>
      <x:c r="R13" t="str">
        <x:v>CostOfGoodsAndServicesSold</x:v>
      </x:c>
      <x:c r="S13" t="str">
        <x:v>InventoryNet</x:v>
      </x:c>
      <x:c r="T13" t="str">
        <x:v>ReceivablesNetCurrent</x:v>
      </x:c>
      <x:c r="U13" t="str">
        <x:v>AccountsPayableCurrent</x:v>
      </x:c>
    </x:row>
    <x:row r="14">
      <x:c r="A14" t="n">
        <x:v>4</x:v>
      </x:c>
      <x:c r="B14" t="str">
        <x:v>TJX</x:v>
      </x:c>
      <x:c r="C14" t="str">
        <x:v>TJX Companies Inc.</x:v>
      </x:c>
      <x:c r="D14" t="str">
        <x:v>FY2022A</x:v>
      </x:c>
      <x:c r="E14" t="n">
        <x:v>2023</x:v>
      </x:c>
      <x:c r="F14" t="str">
        <x:v>2022-01-30</x:v>
      </x:c>
      <x:c r="G14" t="str">
        <x:v>2023-01-28</x:v>
      </x:c>
      <x:c r="H14" t="str">
        <x:v>2023-03-29</x:v>
      </x:c>
      <x:c r="I14" t="str">
        <x:v>0000109198-23-000004</x:v>
      </x:c>
      <x:c r="J14" t="str">
        <x:v>https://www.sec.gov/Archives/edgar/data/109198/000010919823000004/tjx-20230128.htm</x:v>
      </x:c>
      <x:c r="K14" s="4" t="n">
        <x:v>49936</x:v>
      </x:c>
      <x:c r="L14" s="4" t="n">
        <x:v>36149</x:v>
      </x:c>
      <x:c r="M14" s="4" t="n">
        <x:v>5819</x:v>
      </x:c>
      <x:c r="N14" s="4" t="n">
        <x:v>563</x:v>
      </x:c>
      <x:c r="O14" s="4" t="n">
        <x:v>3794</x:v>
      </x:c>
      <x:c r="P14" t="str">
        <x:v>Accounts receivable disclosed separately; small relative to sales</x:v>
      </x:c>
      <x:c r="Q14" t="str">
        <x:v>RevenueFromContractWithCustomerIncludingAssessedTax</x:v>
      </x:c>
      <x:c r="R14" t="str">
        <x:v>CostOfGoodsAndServicesSold</x:v>
      </x:c>
      <x:c r="S14" t="str">
        <x:v>InventoryNet</x:v>
      </x:c>
      <x:c r="T14" t="str">
        <x:v>AccountsReceivableNetCurrent</x:v>
      </x:c>
      <x:c r="U14" t="str">
        <x:v>AccountsPayableCurrent</x:v>
      </x:c>
    </x:row>
    <x:row r="15">
      <x:c r="A15" t="n">
        <x:v>4</x:v>
      </x:c>
      <x:c r="B15" t="str">
        <x:v>TJX</x:v>
      </x:c>
      <x:c r="C15" t="str">
        <x:v>TJX Companies Inc.</x:v>
      </x:c>
      <x:c r="D15" t="str">
        <x:v>FY2023A</x:v>
      </x:c>
      <x:c r="E15" t="n">
        <x:v>2024</x:v>
      </x:c>
      <x:c r="F15" t="str">
        <x:v>2023-01-29</x:v>
      </x:c>
      <x:c r="G15" t="str">
        <x:v>2024-02-03</x:v>
      </x:c>
      <x:c r="H15" t="str">
        <x:v>2024-04-03</x:v>
      </x:c>
      <x:c r="I15" t="str">
        <x:v>0000109198-24-000014</x:v>
      </x:c>
      <x:c r="J15" t="str">
        <x:v>https://www.sec.gov/Archives/edgar/data/109198/000010919824000014/tjx-20240203.htm</x:v>
      </x:c>
      <x:c r="K15" s="4" t="n">
        <x:v>54217</x:v>
      </x:c>
      <x:c r="L15" s="4" t="n">
        <x:v>37951</x:v>
      </x:c>
      <x:c r="M15" s="4" t="n">
        <x:v>5965</x:v>
      </x:c>
      <x:c r="N15" s="4" t="n">
        <x:v>529</x:v>
      </x:c>
      <x:c r="O15" s="4" t="n">
        <x:v>3862</x:v>
      </x:c>
      <x:c r="P15" t="str">
        <x:v>Accounts receivable disclosed separately; small relative to sales</x:v>
      </x:c>
      <x:c r="Q15" t="str">
        <x:v>RevenueFromContractWithCustomerIncludingAssessedTax</x:v>
      </x:c>
      <x:c r="R15" t="str">
        <x:v>CostOfGoodsAndServicesSold</x:v>
      </x:c>
      <x:c r="S15" t="str">
        <x:v>InventoryNet</x:v>
      </x:c>
      <x:c r="T15" t="str">
        <x:v>AccountsReceivableNetCurrent</x:v>
      </x:c>
      <x:c r="U15" t="str">
        <x:v>AccountsPayableCurrent</x:v>
      </x:c>
    </x:row>
    <x:row r="16">
      <x:c r="A16" t="n">
        <x:v>4</x:v>
      </x:c>
      <x:c r="B16" t="str">
        <x:v>TJX</x:v>
      </x:c>
      <x:c r="C16" t="str">
        <x:v>TJX Companies Inc.</x:v>
      </x:c>
      <x:c r="D16" t="str">
        <x:v>FY2024A</x:v>
      </x:c>
      <x:c r="E16" t="n">
        <x:v>2025</x:v>
      </x:c>
      <x:c r="F16" t="str">
        <x:v>2024-02-04</x:v>
      </x:c>
      <x:c r="G16" t="str">
        <x:v>2025-02-01</x:v>
      </x:c>
      <x:c r="H16" t="str">
        <x:v>2025-04-02</x:v>
      </x:c>
      <x:c r="I16" t="str">
        <x:v>0000109198-25-000010</x:v>
      </x:c>
      <x:c r="J16" t="str">
        <x:v>https://www.sec.gov/Archives/edgar/data/109198/000010919825000010/tjx-20250201.htm</x:v>
      </x:c>
      <x:c r="K16" s="4" t="n">
        <x:v>56360</x:v>
      </x:c>
      <x:c r="L16" s="4" t="n">
        <x:v>39112</x:v>
      </x:c>
      <x:c r="M16" s="4" t="n">
        <x:v>6421</x:v>
      </x:c>
      <x:c r="N16" s="4" t="n">
        <x:v>549</x:v>
      </x:c>
      <x:c r="O16" s="4" t="n">
        <x:v>4257</x:v>
      </x:c>
      <x:c r="P16" t="str">
        <x:v>Accounts receivable disclosed separately; small relative to sales</x:v>
      </x:c>
      <x:c r="Q16" t="str">
        <x:v>RevenueFromContractWithCustomerIncludingAssessedTax</x:v>
      </x:c>
      <x:c r="R16" t="str">
        <x:v>CostOfGoodsAndServicesSold</x:v>
      </x:c>
      <x:c r="S16" t="str">
        <x:v>InventoryNet</x:v>
      </x:c>
      <x:c r="T16" t="str">
        <x:v>AccountsReceivableNetCurrent</x:v>
      </x:c>
      <x:c r="U16" t="str">
        <x:v>AccountsPayableCurrent</x:v>
      </x:c>
    </x:row>
    <x:row r="17">
      <x:c r="A17" t="n">
        <x:v>4</x:v>
      </x:c>
      <x:c r="B17" t="str">
        <x:v>TJX</x:v>
      </x:c>
      <x:c r="C17" t="str">
        <x:v>TJX Companies Inc.</x:v>
      </x:c>
      <x:c r="D17" t="str">
        <x:v>FY2025A</x:v>
      </x:c>
      <x:c r="E17" t="n">
        <x:v>2026</x:v>
      </x:c>
      <x:c r="F17" t="str">
        <x:v>2025-02-02</x:v>
      </x:c>
      <x:c r="G17" t="str">
        <x:v>2026-01-31</x:v>
      </x:c>
      <x:c r="H17" t="str">
        <x:v>2026-03-31</x:v>
      </x:c>
      <x:c r="I17" t="str">
        <x:v>0000109198-26-000008</x:v>
      </x:c>
      <x:c r="J17" t="str">
        <x:v>https://www.sec.gov/Archives/edgar/data/109198/000010919826000008/tjx-20260131.htm</x:v>
      </x:c>
      <x:c r="K17" s="4" t="n">
        <x:v>60372</x:v>
      </x:c>
      <x:c r="L17" s="4" t="n">
        <x:v>41679</x:v>
      </x:c>
      <x:c r="M17" s="4" t="n">
        <x:v>7297</x:v>
      </x:c>
      <x:c r="N17" s="4" t="n">
        <x:v>602</x:v>
      </x:c>
      <x:c r="O17" s="4" t="n">
        <x:v>4575</x:v>
      </x:c>
      <x:c r="P17" t="str">
        <x:v>Accounts receivable disclosed separately; small relative to sales</x:v>
      </x:c>
      <x:c r="Q17" t="str">
        <x:v>RevenueFromContractWithCustomerIncludingAssessedTax</x:v>
      </x:c>
      <x:c r="R17" t="str">
        <x:v>CostOfGoodsAndServicesSold</x:v>
      </x:c>
      <x:c r="S17" t="str">
        <x:v>InventoryNet</x:v>
      </x:c>
      <x:c r="T17" t="str">
        <x:v>AccountsReceivableNetCurrent</x:v>
      </x:c>
      <x:c r="U17" t="str">
        <x:v>AccountsPayableCurrent</x:v>
      </x:c>
    </x:row>
    <x:row r="18">
      <x:c r="A18" t="n">
        <x:v>5</x:v>
      </x:c>
      <x:c r="B18" t="str">
        <x:v>DG</x:v>
      </x:c>
      <x:c r="C18" t="str">
        <x:v>Dollar General Corporation</x:v>
      </x:c>
      <x:c r="D18" t="str">
        <x:v>FY2022A</x:v>
      </x:c>
      <x:c r="E18" t="n">
        <x:v>2022</x:v>
      </x:c>
      <x:c r="F18" t="str">
        <x:v>2022-01-29</x:v>
      </x:c>
      <x:c r="G18" t="str">
        <x:v>2023-02-03</x:v>
      </x:c>
      <x:c r="H18" t="str">
        <x:v>2023-03-24</x:v>
      </x:c>
      <x:c r="I18" t="str">
        <x:v>0001558370-23-004574</x:v>
      </x:c>
      <x:c r="J18" t="str">
        <x:v>https://www.sec.gov/Archives/edgar/data/29534/000155837023004574/dg-20230203x10k.htm</x:v>
      </x:c>
      <x:c r="K18" s="4" t="n">
        <x:v>37844.863</x:v>
      </x:c>
      <x:c r="L18" s="4" t="n">
        <x:v>26024.765</x:v>
      </x:c>
      <x:c r="M18" s="4" t="n">
        <x:v>6760.733</x:v>
      </x:c>
      <x:c r="N18" s="4" t="n">
        <x:v>157.3</x:v>
      </x:c>
      <x:c r="O18" s="4" t="n">
        <x:v>3552.991</x:v>
      </x:c>
      <x:c r="P18" t="str">
        <x:v>No material trade AR line; credit/debit card receivables used as disclosed immaterial equivalent</x:v>
      </x:c>
      <x:c r="Q18" t="str">
        <x:v>RevenueFromContractWithCustomerExcludingAssessedTax</x:v>
      </x:c>
      <x:c r="R18" t="str">
        <x:v>CostOfGoodsAndServicesSold</x:v>
      </x:c>
      <x:c r="S18" t="str">
        <x:v>InventoryNet</x:v>
      </x:c>
      <x:c r="T18" t="str">
        <x:v>CreditAndDebitCardReceivablesAtCarryingValue</x:v>
      </x:c>
      <x:c r="U18" t="str">
        <x:v>AccountsPayableCurrent</x:v>
      </x:c>
    </x:row>
    <x:row r="19">
      <x:c r="A19" t="n">
        <x:v>5</x:v>
      </x:c>
      <x:c r="B19" t="str">
        <x:v>DG</x:v>
      </x:c>
      <x:c r="C19" t="str">
        <x:v>Dollar General Corporation</x:v>
      </x:c>
      <x:c r="D19" t="str">
        <x:v>FY2023A</x:v>
      </x:c>
      <x:c r="E19" t="n">
        <x:v>2023</x:v>
      </x:c>
      <x:c r="F19" t="str">
        <x:v>2023-02-04</x:v>
      </x:c>
      <x:c r="G19" t="str">
        <x:v>2024-02-02</x:v>
      </x:c>
      <x:c r="H19" t="str">
        <x:v>2024-03-25</x:v>
      </x:c>
      <x:c r="I19" t="str">
        <x:v>0001558370-24-003813</x:v>
      </x:c>
      <x:c r="J19" t="str">
        <x:v>https://www.sec.gov/Archives/edgar/data/29534/000155837024003813/dg-20240202x10k.htm</x:v>
      </x:c>
      <x:c r="K19" s="4" t="n">
        <x:v>38691.609</x:v>
      </x:c>
      <x:c r="L19" s="4" t="n">
        <x:v>26972.585</x:v>
      </x:c>
      <x:c r="M19" s="4" t="n">
        <x:v>6994.266</x:v>
      </x:c>
      <x:c r="N19" s="4" t="n">
        <x:v>109.3</x:v>
      </x:c>
      <x:c r="O19" s="4" t="n">
        <x:v>3587.374</x:v>
      </x:c>
      <x:c r="P19" t="str">
        <x:v>No material trade AR line; credit/debit card receivables used as disclosed immaterial equivalent</x:v>
      </x:c>
      <x:c r="Q19" t="str">
        <x:v>RevenueFromContractWithCustomerExcludingAssessedTax</x:v>
      </x:c>
      <x:c r="R19" t="str">
        <x:v>CostOfGoodsAndServicesSold</x:v>
      </x:c>
      <x:c r="S19" t="str">
        <x:v>InventoryNet</x:v>
      </x:c>
      <x:c r="T19" t="str">
        <x:v>CreditAndDebitCardReceivablesAtCarryingValue</x:v>
      </x:c>
      <x:c r="U19" t="str">
        <x:v>AccountsPayableCurrent</x:v>
      </x:c>
    </x:row>
    <x:row r="20">
      <x:c r="A20" t="n">
        <x:v>5</x:v>
      </x:c>
      <x:c r="B20" t="str">
        <x:v>DG</x:v>
      </x:c>
      <x:c r="C20" t="str">
        <x:v>Dollar General Corporation</x:v>
      </x:c>
      <x:c r="D20" t="str">
        <x:v>FY2024A</x:v>
      </x:c>
      <x:c r="E20" t="n">
        <x:v>2024</x:v>
      </x:c>
      <x:c r="F20" t="str">
        <x:v>2024-02-03</x:v>
      </x:c>
      <x:c r="G20" t="str">
        <x:v>2025-01-31</x:v>
      </x:c>
      <x:c r="H20" t="str">
        <x:v>2025-03-21</x:v>
      </x:c>
      <x:c r="I20" t="str">
        <x:v>0001558370-25-003413</x:v>
      </x:c>
      <x:c r="J20" t="str">
        <x:v>https://www.sec.gov/Archives/edgar/data/29534/000155837025003413/dg-20250131x10k.htm</x:v>
      </x:c>
      <x:c r="K20" s="4" t="n">
        <x:v>40612.308</x:v>
      </x:c>
      <x:c r="L20" s="4" t="n">
        <x:v>28594.811</x:v>
      </x:c>
      <x:c r="M20" s="4" t="n">
        <x:v>6711.242</x:v>
      </x:c>
      <x:c r="N20" s="4" t="n">
        <x:v>94.4</x:v>
      </x:c>
      <x:c r="O20" s="4" t="n">
        <x:v>3833.133</x:v>
      </x:c>
      <x:c r="P20" t="str">
        <x:v>No material trade AR line; credit/debit card receivables used as disclosed immaterial equivalent</x:v>
      </x:c>
      <x:c r="Q20" t="str">
        <x:v>RevenueFromContractWithCustomerExcludingAssessedTax</x:v>
      </x:c>
      <x:c r="R20" t="str">
        <x:v>CostOfGoodsAndServicesSold</x:v>
      </x:c>
      <x:c r="S20" t="str">
        <x:v>InventoryNet</x:v>
      </x:c>
      <x:c r="T20" t="str">
        <x:v>CreditAndDebitCardReceivablesAtCarryingValue</x:v>
      </x:c>
      <x:c r="U20" t="str">
        <x:v>AccountsPayableCurrent</x:v>
      </x:c>
    </x:row>
    <x:row r="21">
      <x:c r="A21" t="n">
        <x:v>5</x:v>
      </x:c>
      <x:c r="B21" t="str">
        <x:v>DG</x:v>
      </x:c>
      <x:c r="C21" t="str">
        <x:v>Dollar General Corporation</x:v>
      </x:c>
      <x:c r="D21" t="str">
        <x:v>FY2025A</x:v>
      </x:c>
      <x:c r="E21" t="n">
        <x:v>2025</x:v>
      </x:c>
      <x:c r="F21" t="str">
        <x:v>2025-02-01</x:v>
      </x:c>
      <x:c r="G21" t="str">
        <x:v>2026-01-30</x:v>
      </x:c>
      <x:c r="H21" t="str">
        <x:v>2026-03-20</x:v>
      </x:c>
      <x:c r="I21" t="str">
        <x:v>0001104659-26-032325</x:v>
      </x:c>
      <x:c r="J21" t="str">
        <x:v>https://www.sec.gov/Archives/edgar/data/29534/000110465926032325/dg-20260130x10k.htm</x:v>
      </x:c>
      <x:c r="K21" s="4" t="n">
        <x:v>42724.369</x:v>
      </x:c>
      <x:c r="L21" s="4" t="n">
        <x:v>29624.68</x:v>
      </x:c>
      <x:c r="M21" s="4" t="n">
        <x:v>6331.861</x:v>
      </x:c>
      <x:c r="N21" s="4" t="n">
        <x:v>107.5</x:v>
      </x:c>
      <x:c r="O21" s="4" t="n">
        <x:v>4051.592</x:v>
      </x:c>
      <x:c r="P21" t="str">
        <x:v>No material trade AR line; credit/debit card receivables used as disclosed immaterial equivalent</x:v>
      </x:c>
      <x:c r="Q21" t="str">
        <x:v>RevenueFromContractWithCustomerExcludingAssessedTax</x:v>
      </x:c>
      <x:c r="R21" t="str">
        <x:v>CostOfGoodsAndServicesSold</x:v>
      </x:c>
      <x:c r="S21" t="str">
        <x:v>InventoryNet</x:v>
      </x:c>
      <x:c r="T21" t="str">
        <x:v>CreditAndDebitCardReceivablesAtCarryingValue</x:v>
      </x:c>
      <x:c r="U21" t="str">
        <x:v>AccountsPayableCurrent</x:v>
      </x:c>
    </x:row>
  </x:sheetData>
  <x:pageMargins left="0.7" right="0.7" top="0.75" bottom="0.75" header="0.3" footer="0.3"/>
  <x:legacyDrawing xmlns:r="http://schemas.openxmlformats.org/officeDocument/2006/relationships" r:id="Re23860fc048e4b05"/>
</x:worksheet>
</file>

<file path=xl/worksheets/sheet4.xml><?xml version="1.0" encoding="utf-8"?>
<x:worksheet xmlns:x="http://schemas.openxmlformats.org/spreadsheetml/2006/main">
  <x:sheetViews>
    <x:sheetView showGridLines="0" workbookViewId="0"/>
  </x:sheetViews>
  <x:sheetFormatPr defaultRowHeight="15"/>
  <x:cols>
    <x:col min="1" max="1" width="12.109999656677246" hidden="0" customWidth="1"/>
    <x:col min="2" max="2" width="5.440000057220459" hidden="0" customWidth="1"/>
    <x:col min="3" max="3" width="7.78000020980835" hidden="0" customWidth="1"/>
    <x:col min="4" max="4" width="8.4399995803833" hidden="0" customWidth="1"/>
    <x:col min="5" max="5" width="5.440000057220459" hidden="0" customWidth="1"/>
  </x:cols>
  <x:sheetData>
    <x:row r="1">
      <x:c r="A1" s="2" t="str">
        <x:v>Check</x:v>
      </x:c>
      <x:c r="B1" s="2" t="str">
        <x:v>Actual</x:v>
      </x:c>
      <x:c r="C1" s="2" t="str">
        <x:v>Expected</x:v>
      </x:c>
      <x:c r="D1" s="2" t="str">
        <x:v>Difference</x:v>
      </x:c>
      <x:c r="E1" s="2" t="str">
        <x:v>Status</x:v>
      </x:c>
    </x:row>
    <x:row r="2">
      <x:c r="A2" t="str">
        <x:v>Source rows</x:v>
      </x:c>
      <x:c r="B2" t="n">
        <x:f>COUNTA('Source Financials'!A2:A21)</x:f>
        <x:v>20</x:v>
      </x:c>
      <x:c r="C2" t="n">
        <x:v>20</x:v>
      </x:c>
      <x:c r="D2" t="n">
        <x:f>B2-C2</x:f>
        <x:v>0</x:v>
      </x:c>
      <x:c r="E2" t="str">
        <x:f>IF(D2=0,"OK","Check")</x:f>
        <x:v>OK</x:v>
      </x:c>
    </x:row>
    <x:row r="3">
      <x:c r="A3" t="str">
        <x:v>Ratio rows</x:v>
      </x:c>
      <x:c r="B3" t="n">
        <x:f>COUNTA('Ratios'!A2:A16)</x:f>
        <x:v>15</x:v>
      </x:c>
      <x:c r="C3" t="n">
        <x:v>15</x:v>
      </x:c>
      <x:c r="D3" t="n">
        <x:f>B3-C3</x:f>
        <x:v>0</x:v>
      </x:c>
      <x:c r="E3" t="str">
        <x:f>IF(D3=0,"OK","Check")</x:f>
        <x:v>OK</x:v>
      </x:c>
    </x:row>
    <x:row r="4">
      <x:c r="A4" t="str">
        <x:v>Company count</x:v>
      </x:c>
      <x:c r="B4" t="n">
        <x:f>COUNTA(_xlfn.UNIQUE('Ratios'!A2:A16))</x:f>
        <x:v>5</x:v>
      </x:c>
      <x:c r="C4" t="n">
        <x:v>5</x:v>
      </x:c>
      <x:c r="D4" t="n">
        <x:f>B4-C4</x:f>
        <x:v>0</x:v>
      </x:c>
      <x:c r="E4" t="str">
        <x:f>IF(D4=0,"OK","Check")</x:f>
        <x:v>OK</x:v>
      </x:c>
    </x:row>
    <x:row r="5">
      <x:c r="A5" t="str">
        <x:v>Final status</x:v>
      </x:c>
      <x:c r="B5"/>
      <x:c r="C5"/>
      <x:c r="D5"/>
      <x:c r="E5" t="str">
        <x:f>IF(COUNTIF(E2:E4,"Check")=0,"OK","Check")</x:f>
        <x:v>OK</x:v>
      </x:c>
    </x:row>
  </x:sheetData>
  <x:pageMargins left="0.7" right="0.7" top="0.75" bottom="0.75" header="0.3" footer="0.3"/>
</x:worksheet>
</file>